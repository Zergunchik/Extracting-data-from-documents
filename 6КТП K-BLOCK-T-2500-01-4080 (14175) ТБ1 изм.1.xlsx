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92.168.10.15\ConstructionLV\Проекты\Орскнефтеоргсинтез\2024\12.28 00НФ-210262. ОНОС. Уст. замедленного коксования\5.КД\6КТП K-BLOCK-T-2500-01-4080\"/>
    </mc:Choice>
  </mc:AlternateContent>
  <xr:revisionPtr revIDLastSave="0" documentId="13_ncr:1_{5A905B3A-CC93-463F-A2B1-F2E54204A406}" xr6:coauthVersionLast="47" xr6:coauthVersionMax="47" xr10:uidLastSave="{00000000-0000-0000-0000-000000000000}"/>
  <bookViews>
    <workbookView xWindow="28680" yWindow="-120" windowWidth="29040" windowHeight="17640" xr2:uid="{9344735A-424C-45CB-B70E-3ED2888D05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Дарья Духвина</author>
    <author>Баширов Алмаз Фанисович</author>
    <author>Зайнетдинов Руслан Римович</author>
    <author>Осипова Ирина Владимировна</author>
    <author>Азметов Тагир Ильдарович</author>
  </authors>
  <commentList>
    <comment ref="B7" authorId="0" shapeId="0" xr:uid="{FFC4668B-124C-4A45-8C63-D2F529AB3E65}">
      <text>
        <r>
          <rPr>
            <sz val="9"/>
            <color indexed="81"/>
            <rFont val="Tahoma"/>
            <family val="2"/>
            <charset val="204"/>
          </rPr>
          <t>Недопустимое значение. Выберите из списка.</t>
        </r>
      </text>
    </comment>
    <comment ref="L7" authorId="0" shapeId="0" xr:uid="{8C0C3B58-B17B-42EC-BA19-B88BECC5C516}">
      <text>
        <r>
          <rPr>
            <sz val="9"/>
            <color indexed="81"/>
            <rFont val="Tahoma"/>
            <family val="2"/>
            <charset val="204"/>
          </rPr>
          <t>Автоматы для указанного номинала не найдены.</t>
        </r>
      </text>
    </comment>
    <comment ref="AD8" authorId="1" shapeId="0" xr:uid="{58BB06FC-EC9E-410F-B8EF-C1C8351A9438}">
      <text>
        <r>
          <rPr>
            <sz val="9"/>
            <color indexed="81"/>
            <rFont val="Tahoma"/>
            <family val="2"/>
            <charset val="204"/>
          </rPr>
          <t>Недопустимое значение. Выберите из списка.</t>
        </r>
      </text>
    </comment>
    <comment ref="M9" authorId="2" shapeId="0" xr:uid="{6D4887B5-9A06-4D84-92AA-AADED3A4E042}">
      <text>
        <r>
          <rPr>
            <sz val="9"/>
            <color indexed="81"/>
            <rFont val="Tahoma"/>
            <family val="2"/>
            <charset val="204"/>
          </rPr>
          <t>Недопустимое значение</t>
        </r>
      </text>
    </comment>
    <comment ref="Q9" authorId="3" shapeId="0" xr:uid="{71E8D61D-DF2E-4574-BAD6-5BFA9D3565BC}">
      <text>
        <r>
          <rPr>
            <sz val="9"/>
            <color indexed="81"/>
            <rFont val="Tahoma"/>
            <family val="2"/>
            <charset val="204"/>
          </rPr>
          <t>Дифф. выкл. нагрузки для указанного автомата и его номинала не найдены.</t>
        </r>
      </text>
    </comment>
    <comment ref="R9" authorId="3" shapeId="0" xr:uid="{0DEACED2-5B8F-4E86-A049-E68E0A118C9C}">
      <text>
        <r>
          <rPr>
            <sz val="9"/>
            <color indexed="81"/>
            <rFont val="Tahoma"/>
            <family val="2"/>
            <charset val="204"/>
          </rPr>
          <t>Контакторы для указанного автомата и его номинала не найдены.</t>
        </r>
      </text>
    </comment>
    <comment ref="U9" authorId="3" shapeId="0" xr:uid="{644A0C73-7D29-42DC-B911-6D8BDCDB9977}">
      <text>
        <r>
          <rPr>
            <sz val="9"/>
            <color indexed="81"/>
            <rFont val="Tahoma"/>
            <family val="2"/>
            <charset val="204"/>
          </rPr>
          <t>Тепл. реле для указанного автомата и его номинала не найдены.</t>
        </r>
      </text>
    </comment>
    <comment ref="P10" authorId="4" shapeId="0" xr:uid="{7B978FB1-2739-40BD-9870-0FB517AEBCCB}">
      <text>
        <r>
          <rPr>
            <sz val="9"/>
            <color indexed="81"/>
            <rFont val="Tahoma"/>
            <family val="2"/>
            <charset val="204"/>
          </rPr>
          <t>Недопустимое значение.</t>
        </r>
      </text>
    </comment>
    <comment ref="AC10" authorId="3" shapeId="0" xr:uid="{E65BA3F0-130B-4449-AC22-96AD8BF5173C}">
      <text>
        <r>
          <rPr>
            <sz val="9"/>
            <color indexed="81"/>
            <rFont val="Tahoma"/>
            <family val="2"/>
            <charset val="204"/>
          </rPr>
          <t>Для загрузки списка Шкал выберите Амперметр.</t>
        </r>
      </text>
    </comment>
    <comment ref="AC11" authorId="3" shapeId="0" xr:uid="{303A0913-1A4E-40FF-B6A5-FFC6F1500483}">
      <text>
        <r>
          <rPr>
            <sz val="9"/>
            <color indexed="81"/>
            <rFont val="Tahoma"/>
            <family val="2"/>
            <charset val="204"/>
          </rPr>
          <t>Для загрузки списка Шкал выберите Амперметр.</t>
        </r>
      </text>
    </comment>
    <comment ref="M12" authorId="4" shapeId="0" xr:uid="{8918BF18-BD97-4DE0-9BAF-FADD83DC1D5B}">
      <text>
        <r>
          <rPr>
            <sz val="9"/>
            <color indexed="81"/>
            <rFont val="Tahoma"/>
            <family val="2"/>
            <charset val="204"/>
          </rPr>
          <t>Недопустимое значение</t>
        </r>
      </text>
    </comment>
    <comment ref="M14" authorId="2" shapeId="0" xr:uid="{C5B13942-3EC7-4560-A63D-E3B24CD12FDB}">
      <text>
        <r>
          <rPr>
            <sz val="9"/>
            <color indexed="81"/>
            <rFont val="Tahoma"/>
            <family val="2"/>
            <charset val="204"/>
          </rPr>
          <t>Недопустимое значение</t>
        </r>
      </text>
    </comment>
    <comment ref="Q14" authorId="3" shapeId="0" xr:uid="{04A27FDC-AA8A-4AEA-9BD5-8DE5F219FF33}">
      <text>
        <r>
          <rPr>
            <sz val="9"/>
            <color indexed="81"/>
            <rFont val="Tahoma"/>
            <family val="2"/>
            <charset val="204"/>
          </rPr>
          <t>Дифф. выкл. нагрузки для указанного автомата и его номинала не найдены.</t>
        </r>
      </text>
    </comment>
    <comment ref="R14" authorId="3" shapeId="0" xr:uid="{79EADA8B-4B64-4152-BCBB-2C80629D20F5}">
      <text>
        <r>
          <rPr>
            <sz val="9"/>
            <color indexed="81"/>
            <rFont val="Tahoma"/>
            <family val="2"/>
            <charset val="204"/>
          </rPr>
          <t>Контакторы для указанного автомата и его номинала не найдены.</t>
        </r>
      </text>
    </comment>
    <comment ref="U14" authorId="3" shapeId="0" xr:uid="{0FD68CA9-E385-4DCB-945F-6D69B762A4EC}">
      <text>
        <r>
          <rPr>
            <sz val="9"/>
            <color indexed="81"/>
            <rFont val="Tahoma"/>
            <family val="2"/>
            <charset val="204"/>
          </rPr>
          <t>Тепл. реле для указанного автомата и его номинала не найдены.</t>
        </r>
      </text>
    </comment>
    <comment ref="M15" authorId="2" shapeId="0" xr:uid="{7124EF01-FC62-412A-9099-16B7C9C80A93}">
      <text>
        <r>
          <rPr>
            <sz val="9"/>
            <color indexed="81"/>
            <rFont val="Tahoma"/>
            <family val="2"/>
            <charset val="204"/>
          </rPr>
          <t>Недопустимое значение</t>
        </r>
      </text>
    </comment>
    <comment ref="Q15" authorId="3" shapeId="0" xr:uid="{58D37422-940F-4779-A97E-58664C3DE256}">
      <text>
        <r>
          <rPr>
            <sz val="9"/>
            <color indexed="81"/>
            <rFont val="Tahoma"/>
            <family val="2"/>
            <charset val="204"/>
          </rPr>
          <t>Дифф. выкл. нагрузки для указанного автомата и его номинала не найдены.</t>
        </r>
      </text>
    </comment>
    <comment ref="R15" authorId="3" shapeId="0" xr:uid="{67923F03-8E98-42AF-90BF-883F79AF5B5C}">
      <text>
        <r>
          <rPr>
            <sz val="9"/>
            <color indexed="81"/>
            <rFont val="Tahoma"/>
            <family val="2"/>
            <charset val="204"/>
          </rPr>
          <t>Контакторы для указанного автомата и его номинала не найдены.</t>
        </r>
      </text>
    </comment>
    <comment ref="U15" authorId="3" shapeId="0" xr:uid="{7BAF44D4-F539-47A7-A21D-6048725754F1}">
      <text>
        <r>
          <rPr>
            <sz val="9"/>
            <color indexed="81"/>
            <rFont val="Tahoma"/>
            <family val="2"/>
            <charset val="204"/>
          </rPr>
          <t>Тепл. реле для указанного автомата и его номинала не найдены.</t>
        </r>
      </text>
    </comment>
    <comment ref="M18" authorId="4" shapeId="0" xr:uid="{8627EE97-BBB2-4E6C-B208-B51AEE78609F}">
      <text>
        <r>
          <rPr>
            <sz val="9"/>
            <color indexed="81"/>
            <rFont val="Tahoma"/>
            <family val="2"/>
            <charset val="204"/>
          </rPr>
          <t>Недопустимое значение</t>
        </r>
      </text>
    </comment>
    <comment ref="AC20" authorId="3" shapeId="0" xr:uid="{20C30CAF-82E2-4090-BE82-2B24299919A9}">
      <text>
        <r>
          <rPr>
            <sz val="9"/>
            <color indexed="81"/>
            <rFont val="Tahoma"/>
            <family val="2"/>
            <charset val="204"/>
          </rPr>
          <t>Для загрузки списка Шкал выберите Амперметр.</t>
        </r>
      </text>
    </comment>
    <comment ref="P21" authorId="4" shapeId="0" xr:uid="{F6BD1A2F-A845-49B4-85E9-95CA12FC08CD}">
      <text>
        <r>
          <rPr>
            <sz val="9"/>
            <color indexed="81"/>
            <rFont val="Tahoma"/>
            <family val="2"/>
            <charset val="204"/>
          </rPr>
          <t>Недопустимое значение.</t>
        </r>
      </text>
    </comment>
    <comment ref="AC21" authorId="3" shapeId="0" xr:uid="{1E5665A5-CAC4-45B4-A64A-238637B6E540}">
      <text>
        <r>
          <rPr>
            <sz val="9"/>
            <color indexed="81"/>
            <rFont val="Tahoma"/>
            <family val="2"/>
            <charset val="204"/>
          </rPr>
          <t>Для загрузки списка Шкал выберите Амперметр.</t>
        </r>
      </text>
    </comment>
    <comment ref="M22" authorId="2" shapeId="0" xr:uid="{56C64121-CFC7-4ECF-B399-879FFCF500F8}">
      <text>
        <r>
          <rPr>
            <sz val="9"/>
            <color indexed="81"/>
            <rFont val="Tahoma"/>
            <family val="2"/>
            <charset val="204"/>
          </rPr>
          <t>Недопустимое значение</t>
        </r>
      </text>
    </comment>
    <comment ref="Q22" authorId="3" shapeId="0" xr:uid="{A3FAEA47-776A-4210-B09E-0587EA8EB75D}">
      <text>
        <r>
          <rPr>
            <sz val="9"/>
            <color indexed="81"/>
            <rFont val="Tahoma"/>
            <family val="2"/>
            <charset val="204"/>
          </rPr>
          <t>Дифф. выкл. нагрузки для указанного автомата и его номинала не найдены.</t>
        </r>
      </text>
    </comment>
    <comment ref="R22" authorId="3" shapeId="0" xr:uid="{33AA55F6-20B8-43D7-9D2E-AD1413BD27A0}">
      <text>
        <r>
          <rPr>
            <sz val="9"/>
            <color indexed="81"/>
            <rFont val="Tahoma"/>
            <family val="2"/>
            <charset val="204"/>
          </rPr>
          <t>Контакторы для указанного автомата и его номинала не найдены.</t>
        </r>
      </text>
    </comment>
    <comment ref="U22" authorId="3" shapeId="0" xr:uid="{24AE3A32-4614-4338-97FA-496570683A90}">
      <text>
        <r>
          <rPr>
            <sz val="9"/>
            <color indexed="81"/>
            <rFont val="Tahoma"/>
            <family val="2"/>
            <charset val="204"/>
          </rPr>
          <t>Тепл. реле для указанного автомата и его номинала не найдены.</t>
        </r>
      </text>
    </comment>
  </commentList>
</comments>
</file>

<file path=xl/sharedStrings.xml><?xml version="1.0" encoding="utf-8"?>
<sst xmlns="http://schemas.openxmlformats.org/spreadsheetml/2006/main" count="197" uniqueCount="107">
  <si>
    <t>Таблица фидеров: 6КТП K-BLOCK-2500-01-4080 ТБ1</t>
  </si>
  <si>
    <t>Объект: ПАО "Орскнефтеоргсинтез"  Установка замедленного коксования</t>
  </si>
  <si>
    <t xml:space="preserve">Зав: </t>
  </si>
  <si>
    <t>№ секц.</t>
  </si>
  <si>
    <t>Тип колонны</t>
  </si>
  <si>
    <t>Тип фидера</t>
  </si>
  <si>
    <t>Название нагрузки</t>
  </si>
  <si>
    <t>Потребление</t>
  </si>
  <si>
    <t>Номинал автомата, А</t>
  </si>
  <si>
    <t>Тип автомата/ коммутационного блока</t>
  </si>
  <si>
    <t>Тип расцепителя</t>
  </si>
  <si>
    <t>Мотор-редуктор</t>
  </si>
  <si>
    <t>Полюсность</t>
  </si>
  <si>
    <t>Тип независимого расцепителя</t>
  </si>
  <si>
    <t>УЗО</t>
  </si>
  <si>
    <t>Тип контактора</t>
  </si>
  <si>
    <t>Тепловое реле</t>
  </si>
  <si>
    <t>Измерительный трансформатор</t>
  </si>
  <si>
    <t>Преобразователь 4-20мА</t>
  </si>
  <si>
    <t>Счетчик электроэнергии/ МФИ</t>
  </si>
  <si>
    <t>Реле самозапуска</t>
  </si>
  <si>
    <t>Амперметр аналоговый</t>
  </si>
  <si>
    <t>Ток, А</t>
  </si>
  <si>
    <t>Мощность, кВт</t>
  </si>
  <si>
    <t>Тип трансформатора</t>
  </si>
  <si>
    <t>Кол-во</t>
  </si>
  <si>
    <t>Шкала</t>
  </si>
  <si>
    <t>Тип амперметра</t>
  </si>
  <si>
    <t>6УК1</t>
  </si>
  <si>
    <t>250 кВАр</t>
  </si>
  <si>
    <t>PCC(3/0/0/0)</t>
  </si>
  <si>
    <t>MCC002</t>
  </si>
  <si>
    <t>2.1</t>
  </si>
  <si>
    <t>OptiMat D630H MR1</t>
  </si>
  <si>
    <t>MX D100...D630</t>
  </si>
  <si>
    <t>MAK-ru 62/40-600/5-1-10</t>
  </si>
  <si>
    <t>EM-02-AMW-H</t>
  </si>
  <si>
    <t>12M.NS.66.SC</t>
  </si>
  <si>
    <t>2.2.1</t>
  </si>
  <si>
    <t>MCC001 ввод №1</t>
  </si>
  <si>
    <t>OptiMat A-2000-S2-3P-85-D-MR7.0</t>
  </si>
  <si>
    <t>MAK-ru 140/100-2000/5-1-15</t>
  </si>
  <si>
    <t>Дверь 19М</t>
  </si>
  <si>
    <t>Резерв</t>
  </si>
  <si>
    <t>OptiMat A-800-S2-3P-85-D-MR7.0</t>
  </si>
  <si>
    <t>MAK-ru 86/60-800/5-1-10</t>
  </si>
  <si>
    <t>Q1</t>
  </si>
  <si>
    <t>Ввод с М/Р</t>
  </si>
  <si>
    <t>Ввод 1</t>
  </si>
  <si>
    <t>АВР</t>
  </si>
  <si>
    <t>OptiMat A-2500-S4-3P-100-D-MR8.0</t>
  </si>
  <si>
    <t>MAK-ru 140/100-2500/5-0.5-30</t>
  </si>
  <si>
    <t>Q2</t>
  </si>
  <si>
    <t>Ввод 2</t>
  </si>
  <si>
    <t>Q3</t>
  </si>
  <si>
    <t>СВ с М/Р</t>
  </si>
  <si>
    <t>Секционный выключатель</t>
  </si>
  <si>
    <t>MCC001 ввод №2</t>
  </si>
  <si>
    <t>6УК2</t>
  </si>
  <si>
    <t>Позиционное обозначение выкатного модуля</t>
  </si>
  <si>
    <t>№ схемы КТС/Э3</t>
  </si>
  <si>
    <t>Позиционное обозначение фидера</t>
  </si>
  <si>
    <t>Фаза подключения</t>
  </si>
  <si>
    <t>Модульность корзин</t>
  </si>
  <si>
    <t>Референс вводных клемм</t>
  </si>
  <si>
    <t>Референс отходящх клемм</t>
  </si>
  <si>
    <t>Тип подключения отходящих клемм (SC - боковое, RC - заднее)</t>
  </si>
  <si>
    <t>12M</t>
  </si>
  <si>
    <t>87366</t>
  </si>
  <si>
    <t>87370</t>
  </si>
  <si>
    <t>SC</t>
  </si>
  <si>
    <t>Empty(650)</t>
  </si>
  <si>
    <t>70-2(650+450)</t>
  </si>
  <si>
    <t>115(650)</t>
  </si>
  <si>
    <t>Горизонтальные шины</t>
  </si>
  <si>
    <t>Вертикальные шины</t>
  </si>
  <si>
    <t/>
  </si>
  <si>
    <t>4x40x10</t>
  </si>
  <si>
    <t>2x80x10</t>
  </si>
  <si>
    <t>1x80x10</t>
  </si>
  <si>
    <t xml:space="preserve">Разработал: Лобанов </t>
  </si>
  <si>
    <t>Проверил: Гильманов</t>
  </si>
  <si>
    <t>14175</t>
  </si>
  <si>
    <t>QF1-2.1</t>
  </si>
  <si>
    <t>2.2</t>
  </si>
  <si>
    <t>A,B,C</t>
  </si>
  <si>
    <t>4.1</t>
  </si>
  <si>
    <t>5.1</t>
  </si>
  <si>
    <t>6.1</t>
  </si>
  <si>
    <t>7.1</t>
  </si>
  <si>
    <t>8.1</t>
  </si>
  <si>
    <t>9.1</t>
  </si>
  <si>
    <t>10.1</t>
  </si>
  <si>
    <t>10.2</t>
  </si>
  <si>
    <t>10.3</t>
  </si>
  <si>
    <t>QF1-2.2</t>
  </si>
  <si>
    <t>QF1-4.1</t>
  </si>
  <si>
    <t>QF1-5.1</t>
  </si>
  <si>
    <t>QF1-9.1</t>
  </si>
  <si>
    <t>QF1-10.1</t>
  </si>
  <si>
    <t>QF1-10.2</t>
  </si>
  <si>
    <t>QF1-10.3</t>
  </si>
  <si>
    <t>К-mode выкатного модуля</t>
  </si>
  <si>
    <t>Э3, л. 3-7</t>
  </si>
  <si>
    <t>Э3, л.10-14</t>
  </si>
  <si>
    <t>Э3, л. 18</t>
  </si>
  <si>
    <t>80x10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</si>
</sst>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" fontId="0" fillId="0" borderId="5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8" xfId="0" applyNumberFormat="1" applyFill="1" applyBorder="1" applyAlignment="1">
      <alignment horizontal="center" vertical="center" wrapText="1"/>
    </xf>
    <xf numFmtId="49" fontId="0" fillId="2" borderId="12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4B58-3739-451F-BAC8-6629BBD1CAA0}">
  <sheetPr codeName="Лист1">
    <pageSetUpPr fitToPage="1"/>
  </sheetPr>
  <dimension ref="A1:AAA22"/>
  <sheetViews>
    <sheetView tabSelected="1" view="pageBreakPreview" topLeftCell="A7" zoomScale="85" zoomScaleNormal="100" zoomScaleSheetLayoutView="85" workbookViewId="0">
      <selection activeCell="L18" sqref="L18"/>
    </sheetView>
  </sheetViews>
  <sheetFormatPr defaultRowHeight="15" x14ac:dyDescent="0.25"/>
  <cols>
    <col min="1" max="1" width="6.140625" style="1" customWidth="1"/>
    <col min="2" max="2" width="23.28515625" style="1" customWidth="1"/>
    <col min="3" max="3" width="9.7109375" style="1" customWidth="1"/>
    <col min="4" max="4" width="9.85546875" style="1" customWidth="1"/>
    <col min="5" max="5" width="16.42578125" style="1" hidden="1" customWidth="1"/>
    <col min="6" max="6" width="31.140625" style="1" customWidth="1"/>
    <col min="7" max="7" width="13.7109375" style="1" customWidth="1"/>
    <col min="8" max="8" width="14" style="1" customWidth="1"/>
    <col min="9" max="9" width="6.5703125" style="1" hidden="1" customWidth="1"/>
    <col min="10" max="10" width="14.140625" style="1" customWidth="1"/>
    <col min="11" max="11" width="12.28515625" style="1" customWidth="1"/>
    <col min="12" max="12" width="34.42578125" style="1" customWidth="1"/>
    <col min="13" max="15" width="0" style="1" hidden="1" customWidth="1"/>
    <col min="16" max="16" width="17.42578125" style="1" customWidth="1"/>
    <col min="17" max="23" width="0" style="1" hidden="1" customWidth="1"/>
    <col min="24" max="24" width="35.28515625" style="1" customWidth="1"/>
    <col min="25" max="25" width="9.28515625" style="1" customWidth="1"/>
    <col min="26" max="26" width="0" style="1" hidden="1" customWidth="1"/>
    <col min="27" max="27" width="16" style="1" customWidth="1"/>
    <col min="28" max="32" width="0" style="1" hidden="1" customWidth="1"/>
    <col min="33" max="33" width="19" style="1" customWidth="1"/>
    <col min="34" max="35" width="0" style="6" hidden="1" customWidth="1"/>
    <col min="36" max="36" width="17.5703125" style="6" hidden="1" customWidth="1"/>
    <col min="37" max="37" width="0" style="6" hidden="1" customWidth="1"/>
    <col min="38" max="38" width="20.7109375" style="1" hidden="1" customWidth="1"/>
    <col min="39" max="39" width="20.28515625" style="1" hidden="1" customWidth="1"/>
    <col min="40" max="703" width="9.140625" style="1"/>
  </cols>
  <sheetData>
    <row r="1" spans="1:39" x14ac:dyDescent="0.25">
      <c r="A1" s="1" t="s">
        <v>0</v>
      </c>
    </row>
    <row r="2" spans="1:39" x14ac:dyDescent="0.25">
      <c r="A2" s="1" t="s">
        <v>1</v>
      </c>
    </row>
    <row r="3" spans="1:39" x14ac:dyDescent="0.25">
      <c r="A3" s="1" t="s">
        <v>80</v>
      </c>
    </row>
    <row r="4" spans="1:39" x14ac:dyDescent="0.25">
      <c r="A4" s="1" t="s">
        <v>81</v>
      </c>
    </row>
    <row r="5" spans="1:39" x14ac:dyDescent="0.25">
      <c r="A5" s="1" t="s">
        <v>2</v>
      </c>
      <c r="B5" s="1" t="s">
        <v>82</v>
      </c>
    </row>
    <row r="6" spans="1:39" ht="15.75" thickBot="1" x14ac:dyDescent="0.3"/>
    <row r="7" spans="1:39" ht="15" customHeight="1" x14ac:dyDescent="0.25">
      <c r="A7" s="42" t="s">
        <v>3</v>
      </c>
      <c r="B7" s="39" t="s">
        <v>4</v>
      </c>
      <c r="C7" s="30" t="s">
        <v>59</v>
      </c>
      <c r="D7" s="30" t="s">
        <v>61</v>
      </c>
      <c r="E7" s="39" t="s">
        <v>5</v>
      </c>
      <c r="F7" s="39" t="s">
        <v>6</v>
      </c>
      <c r="G7" s="39" t="s">
        <v>62</v>
      </c>
      <c r="H7" s="39" t="s">
        <v>60</v>
      </c>
      <c r="I7" s="39" t="s">
        <v>7</v>
      </c>
      <c r="J7" s="39"/>
      <c r="K7" s="39" t="s">
        <v>8</v>
      </c>
      <c r="L7" s="39" t="s">
        <v>9</v>
      </c>
      <c r="M7" s="39" t="s">
        <v>10</v>
      </c>
      <c r="N7" s="39" t="s">
        <v>11</v>
      </c>
      <c r="O7" s="39" t="s">
        <v>12</v>
      </c>
      <c r="P7" s="39" t="s">
        <v>13</v>
      </c>
      <c r="Q7" s="39" t="s">
        <v>14</v>
      </c>
      <c r="R7" s="39" t="s">
        <v>15</v>
      </c>
      <c r="S7" s="39"/>
      <c r="T7" s="16"/>
      <c r="U7" s="39" t="s">
        <v>16</v>
      </c>
      <c r="V7" s="16"/>
      <c r="W7" s="16"/>
      <c r="X7" s="39" t="s">
        <v>17</v>
      </c>
      <c r="Y7" s="39"/>
      <c r="Z7" s="39" t="s">
        <v>18</v>
      </c>
      <c r="AA7" s="39" t="s">
        <v>19</v>
      </c>
      <c r="AB7" s="39" t="s">
        <v>20</v>
      </c>
      <c r="AC7" s="39" t="s">
        <v>21</v>
      </c>
      <c r="AD7" s="39"/>
      <c r="AE7" s="39"/>
      <c r="AF7" s="16"/>
      <c r="AG7" s="39" t="s">
        <v>102</v>
      </c>
      <c r="AH7" s="30" t="s">
        <v>63</v>
      </c>
      <c r="AI7" s="30" t="s">
        <v>64</v>
      </c>
      <c r="AJ7" s="30" t="s">
        <v>65</v>
      </c>
      <c r="AK7" s="30" t="s">
        <v>66</v>
      </c>
      <c r="AL7" s="30" t="s">
        <v>74</v>
      </c>
      <c r="AM7" s="32" t="s">
        <v>75</v>
      </c>
    </row>
    <row r="8" spans="1:39" ht="66" customHeight="1" thickBot="1" x14ac:dyDescent="0.3">
      <c r="A8" s="43"/>
      <c r="B8" s="40"/>
      <c r="C8" s="31"/>
      <c r="D8" s="31"/>
      <c r="E8" s="40"/>
      <c r="F8" s="40"/>
      <c r="G8" s="40"/>
      <c r="H8" s="40"/>
      <c r="I8" s="19" t="s">
        <v>22</v>
      </c>
      <c r="J8" s="19" t="s">
        <v>23</v>
      </c>
      <c r="K8" s="40"/>
      <c r="L8" s="40"/>
      <c r="M8" s="40"/>
      <c r="N8" s="40"/>
      <c r="O8" s="40"/>
      <c r="P8" s="40"/>
      <c r="Q8" s="40"/>
      <c r="R8" s="40"/>
      <c r="S8" s="40"/>
      <c r="T8" s="19"/>
      <c r="U8" s="40"/>
      <c r="V8" s="19"/>
      <c r="W8" s="19"/>
      <c r="X8" s="19" t="s">
        <v>24</v>
      </c>
      <c r="Y8" s="19" t="s">
        <v>25</v>
      </c>
      <c r="Z8" s="40"/>
      <c r="AA8" s="40"/>
      <c r="AB8" s="40"/>
      <c r="AC8" s="19" t="s">
        <v>26</v>
      </c>
      <c r="AD8" s="19" t="s">
        <v>27</v>
      </c>
      <c r="AE8" s="19" t="s">
        <v>25</v>
      </c>
      <c r="AF8" s="19"/>
      <c r="AG8" s="40"/>
      <c r="AH8" s="31"/>
      <c r="AI8" s="31"/>
      <c r="AJ8" s="31"/>
      <c r="AK8" s="31"/>
      <c r="AL8" s="31"/>
      <c r="AM8" s="33"/>
    </row>
    <row r="9" spans="1:39" ht="15" customHeight="1" x14ac:dyDescent="0.25">
      <c r="A9" s="35">
        <v>1</v>
      </c>
      <c r="B9" s="22" t="s">
        <v>71</v>
      </c>
      <c r="C9" s="25"/>
      <c r="D9" s="10"/>
      <c r="E9" s="9"/>
      <c r="F9" s="9" t="s">
        <v>28</v>
      </c>
      <c r="G9" s="9" t="s">
        <v>85</v>
      </c>
      <c r="H9" s="10" t="s">
        <v>104</v>
      </c>
      <c r="I9" s="9"/>
      <c r="J9" s="9" t="s">
        <v>29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0"/>
      <c r="AB9" s="9"/>
      <c r="AC9" s="9"/>
      <c r="AD9" s="9"/>
      <c r="AE9" s="9"/>
      <c r="AF9" s="9"/>
      <c r="AG9" s="9"/>
      <c r="AH9" s="17"/>
      <c r="AI9" s="17"/>
      <c r="AJ9" s="17"/>
      <c r="AK9" s="17"/>
      <c r="AL9" s="26" t="s">
        <v>77</v>
      </c>
      <c r="AM9" s="18" t="s">
        <v>76</v>
      </c>
    </row>
    <row r="10" spans="1:39" ht="15" customHeight="1" x14ac:dyDescent="0.25">
      <c r="A10" s="36"/>
      <c r="B10" s="38" t="s">
        <v>72</v>
      </c>
      <c r="C10" s="4" t="s">
        <v>32</v>
      </c>
      <c r="D10" s="4" t="s">
        <v>83</v>
      </c>
      <c r="E10" s="2" t="s">
        <v>30</v>
      </c>
      <c r="F10" s="2" t="s">
        <v>31</v>
      </c>
      <c r="G10" s="2" t="s">
        <v>85</v>
      </c>
      <c r="H10" s="4" t="s">
        <v>32</v>
      </c>
      <c r="I10" s="2"/>
      <c r="J10" s="2"/>
      <c r="K10" s="2">
        <v>630</v>
      </c>
      <c r="L10" s="2" t="s">
        <v>33</v>
      </c>
      <c r="M10" s="2"/>
      <c r="N10" s="2"/>
      <c r="O10" s="2"/>
      <c r="P10" s="2" t="s">
        <v>34</v>
      </c>
      <c r="Q10" s="2"/>
      <c r="R10" s="2"/>
      <c r="S10" s="2"/>
      <c r="T10" s="2"/>
      <c r="U10" s="2"/>
      <c r="V10" s="2"/>
      <c r="W10" s="2"/>
      <c r="X10" s="2" t="s">
        <v>35</v>
      </c>
      <c r="Y10" s="2">
        <v>3</v>
      </c>
      <c r="Z10" s="4"/>
      <c r="AA10" s="4" t="s">
        <v>36</v>
      </c>
      <c r="AB10" s="2"/>
      <c r="AC10" s="2"/>
      <c r="AD10" s="2"/>
      <c r="AE10" s="2"/>
      <c r="AF10" s="2"/>
      <c r="AG10" s="2" t="s">
        <v>37</v>
      </c>
      <c r="AH10" s="7" t="s">
        <v>67</v>
      </c>
      <c r="AI10" s="7" t="s">
        <v>68</v>
      </c>
      <c r="AJ10" s="7" t="s">
        <v>69</v>
      </c>
      <c r="AK10" s="7" t="s">
        <v>70</v>
      </c>
      <c r="AL10" s="27"/>
      <c r="AM10" s="29" t="s">
        <v>106</v>
      </c>
    </row>
    <row r="11" spans="1:39" ht="15" customHeight="1" x14ac:dyDescent="0.25">
      <c r="A11" s="36"/>
      <c r="B11" s="38"/>
      <c r="C11" s="4" t="s">
        <v>84</v>
      </c>
      <c r="D11" s="4" t="s">
        <v>95</v>
      </c>
      <c r="E11" s="2" t="s">
        <v>30</v>
      </c>
      <c r="F11" s="2" t="s">
        <v>28</v>
      </c>
      <c r="G11" s="2" t="s">
        <v>85</v>
      </c>
      <c r="H11" s="4" t="s">
        <v>38</v>
      </c>
      <c r="I11" s="2"/>
      <c r="J11" s="2" t="s">
        <v>29</v>
      </c>
      <c r="K11" s="2">
        <v>630</v>
      </c>
      <c r="L11" s="2" t="s">
        <v>33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4"/>
      <c r="AA11" s="4"/>
      <c r="AB11" s="2"/>
      <c r="AC11" s="2"/>
      <c r="AD11" s="2"/>
      <c r="AE11" s="2"/>
      <c r="AF11" s="2"/>
      <c r="AG11" s="2" t="s">
        <v>37</v>
      </c>
      <c r="AH11" s="7" t="s">
        <v>67</v>
      </c>
      <c r="AI11" s="7" t="s">
        <v>68</v>
      </c>
      <c r="AJ11" s="7" t="s">
        <v>69</v>
      </c>
      <c r="AK11" s="7" t="s">
        <v>70</v>
      </c>
      <c r="AL11" s="27"/>
      <c r="AM11" s="29"/>
    </row>
    <row r="12" spans="1:39" ht="15" customHeight="1" x14ac:dyDescent="0.25">
      <c r="A12" s="36"/>
      <c r="B12" s="8" t="s">
        <v>73</v>
      </c>
      <c r="C12" s="4" t="s">
        <v>86</v>
      </c>
      <c r="D12" s="4" t="s">
        <v>96</v>
      </c>
      <c r="E12" s="2" t="s">
        <v>30</v>
      </c>
      <c r="F12" s="2" t="s">
        <v>39</v>
      </c>
      <c r="G12" s="2" t="s">
        <v>85</v>
      </c>
      <c r="H12" s="4" t="s">
        <v>105</v>
      </c>
      <c r="I12" s="2"/>
      <c r="J12" s="2"/>
      <c r="K12" s="2">
        <v>2000</v>
      </c>
      <c r="L12" s="2" t="s">
        <v>40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41</v>
      </c>
      <c r="Y12" s="2">
        <v>3</v>
      </c>
      <c r="Z12" s="4"/>
      <c r="AA12" s="4" t="s">
        <v>36</v>
      </c>
      <c r="AB12" s="2"/>
      <c r="AC12" s="2"/>
      <c r="AD12" s="2"/>
      <c r="AE12" s="2"/>
      <c r="AF12" s="2"/>
      <c r="AG12" s="2" t="s">
        <v>42</v>
      </c>
      <c r="AH12" s="7"/>
      <c r="AI12" s="7"/>
      <c r="AJ12" s="7"/>
      <c r="AK12" s="7"/>
      <c r="AL12" s="27"/>
      <c r="AM12" s="14" t="s">
        <v>78</v>
      </c>
    </row>
    <row r="13" spans="1:39" ht="15" customHeight="1" x14ac:dyDescent="0.25">
      <c r="A13" s="36"/>
      <c r="B13" s="8" t="s">
        <v>73</v>
      </c>
      <c r="C13" s="4" t="s">
        <v>87</v>
      </c>
      <c r="D13" s="4" t="s">
        <v>97</v>
      </c>
      <c r="E13" s="2" t="s">
        <v>30</v>
      </c>
      <c r="F13" s="2" t="s">
        <v>43</v>
      </c>
      <c r="G13" s="2" t="s">
        <v>85</v>
      </c>
      <c r="H13" s="4" t="s">
        <v>105</v>
      </c>
      <c r="I13" s="2"/>
      <c r="J13" s="2"/>
      <c r="K13" s="2">
        <v>800</v>
      </c>
      <c r="L13" s="2" t="s">
        <v>44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45</v>
      </c>
      <c r="Y13" s="2">
        <v>3</v>
      </c>
      <c r="Z13" s="4"/>
      <c r="AA13" s="4" t="s">
        <v>36</v>
      </c>
      <c r="AB13" s="2"/>
      <c r="AC13" s="2"/>
      <c r="AD13" s="2"/>
      <c r="AE13" s="2"/>
      <c r="AF13" s="2"/>
      <c r="AG13" s="2" t="s">
        <v>42</v>
      </c>
      <c r="AH13" s="7"/>
      <c r="AI13" s="7"/>
      <c r="AJ13" s="7"/>
      <c r="AK13" s="7"/>
      <c r="AL13" s="27"/>
      <c r="AM13" s="14" t="s">
        <v>79</v>
      </c>
    </row>
    <row r="14" spans="1:39" ht="15" customHeight="1" thickBot="1" x14ac:dyDescent="0.3">
      <c r="A14" s="41"/>
      <c r="B14" s="24" t="s">
        <v>73</v>
      </c>
      <c r="C14" s="4" t="s">
        <v>88</v>
      </c>
      <c r="D14" s="5" t="s">
        <v>46</v>
      </c>
      <c r="E14" s="3" t="s">
        <v>47</v>
      </c>
      <c r="F14" s="3" t="s">
        <v>48</v>
      </c>
      <c r="G14" s="3" t="s">
        <v>85</v>
      </c>
      <c r="H14" s="3" t="s">
        <v>103</v>
      </c>
      <c r="I14" s="3"/>
      <c r="J14" s="3"/>
      <c r="K14" s="3">
        <v>2500</v>
      </c>
      <c r="L14" s="3" t="s">
        <v>50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51</v>
      </c>
      <c r="Y14" s="3">
        <v>5</v>
      </c>
      <c r="Z14" s="5"/>
      <c r="AA14" s="5" t="s">
        <v>36</v>
      </c>
      <c r="AB14" s="3"/>
      <c r="AC14" s="3"/>
      <c r="AD14" s="3"/>
      <c r="AE14" s="3"/>
      <c r="AF14" s="3"/>
      <c r="AG14" s="3" t="s">
        <v>42</v>
      </c>
      <c r="AH14" s="20"/>
      <c r="AI14" s="20"/>
      <c r="AJ14" s="20"/>
      <c r="AK14" s="20"/>
      <c r="AL14" s="34"/>
      <c r="AM14" s="21" t="s">
        <v>78</v>
      </c>
    </row>
    <row r="15" spans="1:39" ht="15" customHeight="1" x14ac:dyDescent="0.25">
      <c r="A15" s="35">
        <v>2</v>
      </c>
      <c r="B15" s="22" t="s">
        <v>73</v>
      </c>
      <c r="C15" s="10" t="s">
        <v>89</v>
      </c>
      <c r="D15" s="10" t="s">
        <v>52</v>
      </c>
      <c r="E15" s="9" t="s">
        <v>47</v>
      </c>
      <c r="F15" s="9" t="s">
        <v>53</v>
      </c>
      <c r="G15" s="9" t="s">
        <v>85</v>
      </c>
      <c r="H15" s="9" t="s">
        <v>103</v>
      </c>
      <c r="I15" s="9"/>
      <c r="J15" s="9"/>
      <c r="K15" s="9">
        <v>2500</v>
      </c>
      <c r="L15" s="9" t="s">
        <v>50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 t="s">
        <v>51</v>
      </c>
      <c r="Y15" s="9">
        <v>5</v>
      </c>
      <c r="Z15" s="10"/>
      <c r="AA15" s="10" t="s">
        <v>36</v>
      </c>
      <c r="AB15" s="9"/>
      <c r="AC15" s="9"/>
      <c r="AD15" s="9"/>
      <c r="AE15" s="9"/>
      <c r="AF15" s="9"/>
      <c r="AG15" s="9" t="s">
        <v>42</v>
      </c>
      <c r="AH15" s="17"/>
      <c r="AI15" s="17"/>
      <c r="AJ15" s="17"/>
      <c r="AK15" s="17"/>
      <c r="AL15" s="26" t="s">
        <v>77</v>
      </c>
      <c r="AM15" s="18" t="s">
        <v>78</v>
      </c>
    </row>
    <row r="16" spans="1:39" ht="15" customHeight="1" x14ac:dyDescent="0.25">
      <c r="A16" s="36"/>
      <c r="B16" s="38" t="s">
        <v>73</v>
      </c>
      <c r="C16" s="4" t="s">
        <v>90</v>
      </c>
      <c r="D16" s="4" t="s">
        <v>54</v>
      </c>
      <c r="E16" s="2" t="s">
        <v>55</v>
      </c>
      <c r="F16" s="2" t="s">
        <v>56</v>
      </c>
      <c r="G16" s="2" t="s">
        <v>85</v>
      </c>
      <c r="H16" s="2" t="s">
        <v>103</v>
      </c>
      <c r="I16" s="2"/>
      <c r="J16" s="2"/>
      <c r="K16" s="2">
        <v>2500</v>
      </c>
      <c r="L16" s="2" t="s">
        <v>50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4"/>
      <c r="AA16" s="4"/>
      <c r="AB16" s="2"/>
      <c r="AC16" s="2"/>
      <c r="AD16" s="2"/>
      <c r="AE16" s="2"/>
      <c r="AF16" s="2"/>
      <c r="AG16" s="2" t="s">
        <v>42</v>
      </c>
      <c r="AH16" s="7"/>
      <c r="AI16" s="7"/>
      <c r="AJ16" s="7"/>
      <c r="AK16" s="7"/>
      <c r="AL16" s="27"/>
      <c r="AM16" s="29" t="s">
        <v>78</v>
      </c>
    </row>
    <row r="17" spans="1:39" ht="15" hidden="1" customHeight="1" x14ac:dyDescent="0.25">
      <c r="A17" s="36"/>
      <c r="B17" s="38"/>
      <c r="C17" s="2"/>
      <c r="D17" s="4"/>
      <c r="E17" s="2" t="s">
        <v>49</v>
      </c>
      <c r="F17" s="2" t="s">
        <v>49</v>
      </c>
      <c r="G17" s="2"/>
      <c r="H17" s="2" t="s">
        <v>49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4"/>
      <c r="AA17" s="4"/>
      <c r="AB17" s="2"/>
      <c r="AC17" s="2"/>
      <c r="AD17" s="2"/>
      <c r="AE17" s="2"/>
      <c r="AF17" s="2"/>
      <c r="AG17" s="2" t="s">
        <v>42</v>
      </c>
      <c r="AH17" s="7"/>
      <c r="AI17" s="7"/>
      <c r="AJ17" s="7"/>
      <c r="AK17" s="7"/>
      <c r="AL17" s="27"/>
      <c r="AM17" s="29"/>
    </row>
    <row r="18" spans="1:39" ht="15" customHeight="1" x14ac:dyDescent="0.25">
      <c r="A18" s="36"/>
      <c r="B18" s="8" t="s">
        <v>73</v>
      </c>
      <c r="C18" s="4" t="s">
        <v>91</v>
      </c>
      <c r="D18" s="4" t="s">
        <v>98</v>
      </c>
      <c r="E18" s="2" t="s">
        <v>30</v>
      </c>
      <c r="F18" s="2" t="s">
        <v>57</v>
      </c>
      <c r="G18" s="2" t="s">
        <v>85</v>
      </c>
      <c r="H18" s="4" t="s">
        <v>105</v>
      </c>
      <c r="I18" s="2"/>
      <c r="J18" s="2"/>
      <c r="K18" s="2">
        <v>2000</v>
      </c>
      <c r="L18" s="2" t="s">
        <v>40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41</v>
      </c>
      <c r="Y18" s="2">
        <v>3</v>
      </c>
      <c r="Z18" s="4"/>
      <c r="AA18" s="4" t="s">
        <v>36</v>
      </c>
      <c r="AB18" s="2"/>
      <c r="AC18" s="2"/>
      <c r="AD18" s="2"/>
      <c r="AE18" s="2"/>
      <c r="AF18" s="2"/>
      <c r="AG18" s="2" t="s">
        <v>42</v>
      </c>
      <c r="AH18" s="7"/>
      <c r="AI18" s="7"/>
      <c r="AJ18" s="7"/>
      <c r="AK18" s="7"/>
      <c r="AL18" s="27"/>
      <c r="AM18" s="14" t="s">
        <v>78</v>
      </c>
    </row>
    <row r="19" spans="1:39" ht="15" customHeight="1" x14ac:dyDescent="0.25">
      <c r="A19" s="36"/>
      <c r="B19" s="44" t="s">
        <v>72</v>
      </c>
      <c r="C19" s="4" t="s">
        <v>92</v>
      </c>
      <c r="D19" s="4" t="s">
        <v>99</v>
      </c>
      <c r="E19" s="2" t="s">
        <v>30</v>
      </c>
      <c r="F19" s="2" t="s">
        <v>43</v>
      </c>
      <c r="G19" s="2" t="s">
        <v>85</v>
      </c>
      <c r="H19" s="4" t="s">
        <v>105</v>
      </c>
      <c r="I19" s="2"/>
      <c r="J19" s="2"/>
      <c r="K19" s="2">
        <v>800</v>
      </c>
      <c r="L19" s="2" t="s">
        <v>44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45</v>
      </c>
      <c r="Y19" s="2">
        <v>3</v>
      </c>
      <c r="Z19" s="4"/>
      <c r="AA19" s="4" t="s">
        <v>36</v>
      </c>
      <c r="AB19" s="2"/>
      <c r="AC19" s="2"/>
      <c r="AD19" s="2"/>
      <c r="AE19" s="2"/>
      <c r="AF19" s="2"/>
      <c r="AG19" s="2" t="s">
        <v>42</v>
      </c>
      <c r="AH19" s="7"/>
      <c r="AI19" s="7"/>
      <c r="AJ19" s="7"/>
      <c r="AK19" s="7"/>
      <c r="AL19" s="27"/>
      <c r="AM19" s="29" t="s">
        <v>106</v>
      </c>
    </row>
    <row r="20" spans="1:39" ht="15" customHeight="1" x14ac:dyDescent="0.25">
      <c r="A20" s="36"/>
      <c r="B20" s="45"/>
      <c r="C20" s="47" t="s">
        <v>93</v>
      </c>
      <c r="D20" s="47" t="s">
        <v>100</v>
      </c>
      <c r="E20" s="48" t="s">
        <v>30</v>
      </c>
      <c r="F20" s="48" t="s">
        <v>58</v>
      </c>
      <c r="G20" s="48" t="s">
        <v>85</v>
      </c>
      <c r="H20" s="47" t="s">
        <v>38</v>
      </c>
      <c r="I20" s="48"/>
      <c r="J20" s="48" t="s">
        <v>29</v>
      </c>
      <c r="K20" s="48">
        <v>630</v>
      </c>
      <c r="L20" s="48" t="s">
        <v>33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7"/>
      <c r="AA20" s="47"/>
      <c r="AB20" s="48"/>
      <c r="AC20" s="48"/>
      <c r="AD20" s="48"/>
      <c r="AE20" s="48"/>
      <c r="AF20" s="48"/>
      <c r="AG20" s="48" t="s">
        <v>37</v>
      </c>
      <c r="AH20" s="7" t="s">
        <v>67</v>
      </c>
      <c r="AI20" s="7" t="s">
        <v>68</v>
      </c>
      <c r="AJ20" s="7" t="s">
        <v>69</v>
      </c>
      <c r="AK20" s="7" t="s">
        <v>70</v>
      </c>
      <c r="AL20" s="27"/>
      <c r="AM20" s="29"/>
    </row>
    <row r="21" spans="1:39" ht="15" customHeight="1" x14ac:dyDescent="0.25">
      <c r="A21" s="41"/>
      <c r="B21" s="46"/>
      <c r="C21" s="47" t="s">
        <v>94</v>
      </c>
      <c r="D21" s="47" t="s">
        <v>101</v>
      </c>
      <c r="E21" s="48" t="s">
        <v>30</v>
      </c>
      <c r="F21" s="48" t="s">
        <v>31</v>
      </c>
      <c r="G21" s="48" t="s">
        <v>85</v>
      </c>
      <c r="H21" s="47" t="s">
        <v>32</v>
      </c>
      <c r="I21" s="48"/>
      <c r="J21" s="48"/>
      <c r="K21" s="48">
        <v>630</v>
      </c>
      <c r="L21" s="48" t="s">
        <v>33</v>
      </c>
      <c r="M21" s="48"/>
      <c r="N21" s="48"/>
      <c r="O21" s="48"/>
      <c r="P21" s="48" t="s">
        <v>34</v>
      </c>
      <c r="Q21" s="48"/>
      <c r="R21" s="48"/>
      <c r="S21" s="48"/>
      <c r="T21" s="48"/>
      <c r="U21" s="48"/>
      <c r="V21" s="48"/>
      <c r="W21" s="48"/>
      <c r="X21" s="48" t="s">
        <v>35</v>
      </c>
      <c r="Y21" s="48">
        <v>3</v>
      </c>
      <c r="Z21" s="47"/>
      <c r="AA21" s="47" t="s">
        <v>36</v>
      </c>
      <c r="AB21" s="48"/>
      <c r="AC21" s="48"/>
      <c r="AD21" s="48"/>
      <c r="AE21" s="48"/>
      <c r="AF21" s="48"/>
      <c r="AG21" s="48" t="s">
        <v>37</v>
      </c>
      <c r="AH21" s="20"/>
      <c r="AI21" s="20"/>
      <c r="AJ21" s="20"/>
      <c r="AK21" s="20"/>
      <c r="AL21" s="34"/>
      <c r="AM21" s="21"/>
    </row>
    <row r="22" spans="1:39" ht="15" customHeight="1" thickBot="1" x14ac:dyDescent="0.3">
      <c r="A22" s="37"/>
      <c r="B22" s="23" t="s">
        <v>71</v>
      </c>
      <c r="C22" s="11"/>
      <c r="D22" s="12"/>
      <c r="E22" s="11"/>
      <c r="F22" s="11" t="s">
        <v>58</v>
      </c>
      <c r="G22" s="11" t="s">
        <v>85</v>
      </c>
      <c r="H22" s="12" t="s">
        <v>104</v>
      </c>
      <c r="I22" s="11"/>
      <c r="J22" s="11" t="s">
        <v>29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12"/>
      <c r="AB22" s="11"/>
      <c r="AC22" s="11"/>
      <c r="AD22" s="11"/>
      <c r="AE22" s="11"/>
      <c r="AF22" s="11"/>
      <c r="AG22" s="11"/>
      <c r="AH22" s="13"/>
      <c r="AI22" s="13"/>
      <c r="AJ22" s="13"/>
      <c r="AK22" s="13"/>
      <c r="AL22" s="28"/>
      <c r="AM22" s="15" t="s">
        <v>76</v>
      </c>
    </row>
  </sheetData>
  <mergeCells count="40">
    <mergeCell ref="B19:B21"/>
    <mergeCell ref="L7:L8"/>
    <mergeCell ref="M7:M8"/>
    <mergeCell ref="N7:N8"/>
    <mergeCell ref="A7:A8"/>
    <mergeCell ref="B7:B8"/>
    <mergeCell ref="C7:C8"/>
    <mergeCell ref="D7:D8"/>
    <mergeCell ref="E7:E8"/>
    <mergeCell ref="F7:F8"/>
    <mergeCell ref="AI7:AI8"/>
    <mergeCell ref="Z7:Z8"/>
    <mergeCell ref="AA7:AA8"/>
    <mergeCell ref="AB7:AB8"/>
    <mergeCell ref="AC7:AE7"/>
    <mergeCell ref="AG7:AG8"/>
    <mergeCell ref="A15:A22"/>
    <mergeCell ref="B16:B17"/>
    <mergeCell ref="G7:G8"/>
    <mergeCell ref="AH7:AH8"/>
    <mergeCell ref="A9:A14"/>
    <mergeCell ref="B10:B11"/>
    <mergeCell ref="O7:O8"/>
    <mergeCell ref="P7:P8"/>
    <mergeCell ref="Q7:Q8"/>
    <mergeCell ref="R7:S8"/>
    <mergeCell ref="U7:U8"/>
    <mergeCell ref="X7:Y7"/>
    <mergeCell ref="H7:H8"/>
    <mergeCell ref="I7:J7"/>
    <mergeCell ref="K7:K8"/>
    <mergeCell ref="AL15:AL22"/>
    <mergeCell ref="AM16:AM17"/>
    <mergeCell ref="AM19:AM20"/>
    <mergeCell ref="AJ7:AJ8"/>
    <mergeCell ref="AK7:AK8"/>
    <mergeCell ref="AL7:AL8"/>
    <mergeCell ref="AM7:AM8"/>
    <mergeCell ref="AL9:AL14"/>
    <mergeCell ref="AM10:AM11"/>
  </mergeCells>
  <phoneticPr fontId="2" type="noConversion"/>
  <dataValidations count="67">
    <dataValidation type="list" allowBlank="1" showInputMessage="1" showErrorMessage="1" sqref="AA18:AA19" xr:uid="{6F48158D-CBFA-45C4-A69D-B49ABB3EFA6F}">
      <formula1>BC31:BC1048548</formula1>
    </dataValidation>
    <dataValidation type="list" allowBlank="1" showInputMessage="1" showErrorMessage="1" sqref="X19" xr:uid="{6ACC7300-8F0A-42D7-8CFF-8F6E58E5A534}">
      <formula1>BC23:BC1048549</formula1>
    </dataValidation>
    <dataValidation type="list" allowBlank="1" showInputMessage="1" showErrorMessage="1" sqref="AA13" xr:uid="{FDAF6D0E-7F31-402A-A5DF-45686E9D61D2}">
      <formula1>BC27:BC1048544</formula1>
    </dataValidation>
    <dataValidation type="list" allowBlank="1" showInputMessage="1" showErrorMessage="1" sqref="AA12 AA15" xr:uid="{7A7D532F-ACB8-4919-9F6F-07DD7697E18A}">
      <formula1>BC25:BC1048543</formula1>
    </dataValidation>
    <dataValidation type="list" allowBlank="1" showInputMessage="1" showErrorMessage="1" sqref="AA22" xr:uid="{C3262598-D84F-4527-B447-981817A48DC4}">
      <formula1>BC29:BC1048548</formula1>
    </dataValidation>
    <dataValidation type="list" allowBlank="1" showInputMessage="1" showErrorMessage="1" sqref="AA21" xr:uid="{7AD29F30-8081-42F6-9227-5640D6D8F3FC}">
      <formula1>BC28:BC1048562</formula1>
    </dataValidation>
    <dataValidation type="list" allowBlank="1" showInputMessage="1" showErrorMessage="1" sqref="AA20" xr:uid="{0F5DD8C4-90A2-4B5B-A415-3E34CC2A31F6}">
      <formula1>BC25:BC1048559</formula1>
    </dataValidation>
    <dataValidation type="list" allowBlank="1" showInputMessage="1" showErrorMessage="1" sqref="N10" xr:uid="{DA0E30C6-5D73-4949-A367-EBC28C510D68}">
      <formula1>BC1048538:BC1048542</formula1>
    </dataValidation>
    <dataValidation type="list" allowBlank="1" showInputMessage="1" showErrorMessage="1" sqref="N9" xr:uid="{F284F76D-3DD6-411D-8A6B-35F8EA5E300A}">
      <formula1>BC1048536:BC1048538</formula1>
    </dataValidation>
    <dataValidation type="list" allowBlank="1" showInputMessage="1" showErrorMessage="1" sqref="N21 N15" xr:uid="{D7034D9E-3E37-482F-BE39-F0B92E1B6D3D}">
      <formula1>BC1048546:BC1048548</formula1>
    </dataValidation>
    <dataValidation type="list" allowBlank="1" showInputMessage="1" showErrorMessage="1" sqref="AG18:AG19" xr:uid="{6868B7A2-5135-42D6-9B61-48155FBF98A3}">
      <formula1>BC1048547:BC1048548</formula1>
    </dataValidation>
    <dataValidation type="list" allowBlank="1" showInputMessage="1" showErrorMessage="1" sqref="N20" xr:uid="{A57EBD9D-4E9F-4FFF-A1D3-12C3BACF1EF9}">
      <formula1>BC1048550:BC1048552</formula1>
    </dataValidation>
    <dataValidation type="list" allowBlank="1" showInputMessage="1" showErrorMessage="1" sqref="L9" xr:uid="{6EF43FD3-DDDE-43F2-94EA-7515397E0B18}">
      <formula1>BC1048536:BC1048538</formula1>
    </dataValidation>
    <dataValidation type="list" allowBlank="1" showInputMessage="1" showErrorMessage="1" sqref="X18 X12" xr:uid="{309B1691-13BD-4998-A743-435F067B45F4}">
      <formula1>BC17:BC1048543</formula1>
    </dataValidation>
    <dataValidation type="list" allowBlank="1" showInputMessage="1" showErrorMessage="1" sqref="N18" xr:uid="{534631A5-7582-4363-9D2C-B9E37476AED3}">
      <formula1>BC1048547:BC1048550</formula1>
    </dataValidation>
    <dataValidation type="list" allowBlank="1" showInputMessage="1" showErrorMessage="1" sqref="X9 X20" xr:uid="{EBAEF8FF-8AF9-4D90-B589-2F83FC3CC1C8}">
      <formula1>BC1048543:BC1048563</formula1>
    </dataValidation>
    <dataValidation type="list" allowBlank="1" showInputMessage="1" showErrorMessage="1" sqref="P21" xr:uid="{068DC76D-7E01-434E-9E5F-4769C875C3E3}">
      <formula1>BC1048555:BC1048562</formula1>
    </dataValidation>
    <dataValidation type="list" allowBlank="1" showInputMessage="1" showErrorMessage="1" sqref="P20" xr:uid="{13F5C407-8CC8-4196-AC8B-4F3E0F95E535}">
      <formula1>BC1048556:BC1048563</formula1>
    </dataValidation>
    <dataValidation type="list" allowBlank="1" showInputMessage="1" showErrorMessage="1" sqref="L21" xr:uid="{897EEB89-3D52-4C7E-9DAE-9EAD9658C30E}">
      <formula1>BC1048555:BC1048563</formula1>
    </dataValidation>
    <dataValidation type="list" allowBlank="1" showInputMessage="1" showErrorMessage="1" sqref="L20" xr:uid="{4FE8A049-7EAD-41FE-8EA9-999F72CEA81E}">
      <formula1>BC1048556:BC1048564</formula1>
    </dataValidation>
    <dataValidation type="list" allowBlank="1" showInputMessage="1" showErrorMessage="1" sqref="L17" xr:uid="{D978ECC9-7DDA-42AF-90AD-7B1DE04D7491}">
      <formula1>BC1048543:BC1048548</formula1>
    </dataValidation>
    <dataValidation type="list" allowBlank="1" showInputMessage="1" showErrorMessage="1" sqref="AA21" xr:uid="{89B332D1-77D4-4A01-8FF7-7D310022E03E}">
      <formula1>BC31:BC1048550</formula1>
    </dataValidation>
    <dataValidation type="list" allowBlank="1" showInputMessage="1" showErrorMessage="1" sqref="AA20" xr:uid="{2F774F7A-F000-4D5A-A8B8-EB05DF2AB80D}">
      <formula1>BC29:BC1048548</formula1>
    </dataValidation>
    <dataValidation type="list" allowBlank="1" showInputMessage="1" showErrorMessage="1" sqref="N11:N13" xr:uid="{F9FE5C72-C388-47FB-9DA9-A5B50E4AF894}">
      <formula1>BC1048539:BC1048542</formula1>
    </dataValidation>
    <dataValidation type="list" allowBlank="1" showInputMessage="1" showErrorMessage="1" sqref="X21" xr:uid="{3696C269-77A0-43A2-8273-3EFFE836D584}">
      <formula1>BC1048557:BC1</formula1>
    </dataValidation>
    <dataValidation type="list" allowBlank="1" showInputMessage="1" showErrorMessage="1" sqref="AG12:AG14" xr:uid="{4775AD24-ED5B-4129-9A73-CE3615535483}">
      <formula1>BC1048540:BC1048541</formula1>
    </dataValidation>
    <dataValidation type="list" allowBlank="1" showInputMessage="1" showErrorMessage="1" sqref="L13 L19" xr:uid="{16343154-6158-49A0-A566-CF1C6DCDEAAA}">
      <formula1>BC1048543:BC1048551</formula1>
    </dataValidation>
    <dataValidation type="list" allowBlank="1" showInputMessage="1" showErrorMessage="1" sqref="L12 L18" xr:uid="{01BA9462-2B21-47AF-99DE-65EDC7240CDA}">
      <formula1>BC1048543:BC1048551</formula1>
    </dataValidation>
    <dataValidation type="list" allowBlank="1" showInputMessage="1" showErrorMessage="1" sqref="O12 O18" xr:uid="{9FCA3990-54F0-49C2-8504-461D855A6825}">
      <formula1>BC1048543:BC1048549</formula1>
    </dataValidation>
    <dataValidation type="list" allowBlank="1" showInputMessage="1" showErrorMessage="1" sqref="L14" xr:uid="{F38ED661-DEE8-4C40-AD1E-E9D05F98C206}">
      <formula1>BC1048543:BC1048547</formula1>
    </dataValidation>
    <dataValidation type="list" allowBlank="1" showInputMessage="1" showErrorMessage="1" sqref="X15" xr:uid="{ABD47957-260D-49E1-A2A6-BED8B5C6BA11}">
      <formula1>BC1048554:BC1048574</formula1>
    </dataValidation>
    <dataValidation type="list" allowBlank="1" showInputMessage="1" showErrorMessage="1" sqref="N14:N15" xr:uid="{9FAAC779-1262-4938-889B-6521D756CFE7}">
      <formula1>BC1048535:BC1048537</formula1>
    </dataValidation>
    <dataValidation type="list" allowBlank="1" showInputMessage="1" showErrorMessage="1" sqref="L15" xr:uid="{B7189CF4-5A6D-44BE-B7EC-C3463D852226}">
      <formula1>BC1048536:BC1048538</formula1>
    </dataValidation>
    <dataValidation type="list" allowBlank="1" showInputMessage="1" showErrorMessage="1" sqref="L15" xr:uid="{B5BB230B-D315-4003-A473-08506284F772}">
      <formula1>BC1048546:BC1048548</formula1>
    </dataValidation>
    <dataValidation type="list" allowBlank="1" showInputMessage="1" showErrorMessage="1" sqref="X14:X15" xr:uid="{18DAAF71-3D31-4347-84CE-0D5521A2C9CE}">
      <formula1>BC1048543:BC1048563</formula1>
    </dataValidation>
    <dataValidation type="list" allowBlank="1" showInputMessage="1" showErrorMessage="1" sqref="N22" xr:uid="{E285FA12-898F-4132-828F-4C92BD28ED4D}">
      <formula1>BC1048548:BC1048550</formula1>
    </dataValidation>
    <dataValidation type="list" allowBlank="1" showInputMessage="1" showErrorMessage="1" sqref="L22" xr:uid="{CCB7C3A5-4919-4111-A068-887E20F4546C}">
      <formula1>BC1048548:BC1048550</formula1>
    </dataValidation>
    <dataValidation type="list" allowBlank="1" showInputMessage="1" showErrorMessage="1" sqref="L16" xr:uid="{D6BE8107-321E-48C7-904B-9C2B17ED0FA4}">
      <formula1>BC1048543:BC1048547</formula1>
    </dataValidation>
    <dataValidation type="list" allowBlank="1" showInputMessage="1" showErrorMessage="1" sqref="AA10" xr:uid="{65C0D5B9-F0F7-4F7D-A75A-1BA4554E1AD3}">
      <formula1>BC19:BC1048536</formula1>
    </dataValidation>
    <dataValidation type="list" allowBlank="1" showInputMessage="1" showErrorMessage="1" sqref="AA11 AA9" xr:uid="{4ED3C81D-B02D-459A-8EB8-B16C8B4575F1}">
      <formula1>BC17:BC1048534</formula1>
    </dataValidation>
    <dataValidation type="list" allowBlank="1" showInputMessage="1" showErrorMessage="1" sqref="AA14" xr:uid="{772A532D-EEC0-4D92-8C9B-A73629C43EFA}">
      <formula1>BC18:BC1048535</formula1>
    </dataValidation>
    <dataValidation type="list" allowBlank="1" showInputMessage="1" showErrorMessage="1" sqref="B19" xr:uid="{08F39957-9EAA-4990-A727-07453AE6FD26}">
      <formula1>BB1:BB1048543</formula1>
    </dataValidation>
    <dataValidation type="list" allowBlank="1" showInputMessage="1" showErrorMessage="1" sqref="X13" xr:uid="{20D1F925-257F-471C-A61F-FC1BB6BDB59F}">
      <formula1>BC19:BC1048544</formula1>
    </dataValidation>
    <dataValidation type="list" allowBlank="1" showInputMessage="1" showErrorMessage="1" sqref="AA10" xr:uid="{93F3B3A4-5DDC-45C1-93F2-4B8A3E8586D1}">
      <formula1>BC18:BC1048550</formula1>
    </dataValidation>
    <dataValidation type="list" allowBlank="1" showInputMessage="1" showErrorMessage="1" sqref="AA11" xr:uid="{4D5107D5-85F6-4F8A-B125-BBF22F2E84B8}">
      <formula1>BC17:BC1048549</formula1>
    </dataValidation>
    <dataValidation type="list" allowBlank="1" showInputMessage="1" showErrorMessage="1" sqref="X18" xr:uid="{0C058C53-32C9-469E-AB3F-6711E7039B84}">
      <formula1>BC9:BC1048553</formula1>
    </dataValidation>
    <dataValidation type="list" allowBlank="1" showInputMessage="1" showErrorMessage="1" sqref="X18" xr:uid="{0A39FCEB-903D-4AF7-B8EC-BFE5D5A91A55}">
      <formula1>BC10:BC1048554</formula1>
    </dataValidation>
    <dataValidation type="list" allowBlank="1" showInputMessage="1" showErrorMessage="1" sqref="X18" xr:uid="{C287C3EE-BF16-4C3E-A9C1-9AEA7B44828D}">
      <formula1>BC11:BC1048555</formula1>
    </dataValidation>
    <dataValidation type="list" allowBlank="1" showInputMessage="1" showErrorMessage="1" sqref="P10" xr:uid="{D79B3E1C-B20D-4934-A1FB-3BB294A9DD52}">
      <formula1>BC1048543:BC1048550</formula1>
    </dataValidation>
    <dataValidation type="list" allowBlank="1" showInputMessage="1" showErrorMessage="1" sqref="P11" xr:uid="{B5103952-479A-4ADB-8872-026875A8E2B6}">
      <formula1>BC1048546:BC1048553</formula1>
    </dataValidation>
    <dataValidation type="list" allowBlank="1" showInputMessage="1" showErrorMessage="1" sqref="L10" xr:uid="{C5ECE992-8665-4319-8375-95208B570531}">
      <formula1>BC1048543:BC1048551</formula1>
    </dataValidation>
    <dataValidation type="list" allowBlank="1" showInputMessage="1" showErrorMessage="1" sqref="L11" xr:uid="{78B52B5B-3D0D-4EE5-A10C-A4B082A85434}">
      <formula1>BC1048546:BC1048554</formula1>
    </dataValidation>
    <dataValidation type="list" allowBlank="1" showInputMessage="1" showErrorMessage="1" sqref="B10" xr:uid="{1B2DCD29-87BC-4F88-9149-F2430ACF53AD}">
      <formula1>BB1:BB1048543</formula1>
    </dataValidation>
    <dataValidation type="list" allowBlank="1" showInputMessage="1" showErrorMessage="1" sqref="X10 X12:X13" xr:uid="{C91D6DC9-7002-4C6F-BFE1-4CAAF980228F}">
      <formula1>BC2:BC1048545</formula1>
    </dataValidation>
    <dataValidation type="list" allowBlank="1" showInputMessage="1" showErrorMessage="1" sqref="X21 X12:X13 X10" xr:uid="{B51C1452-6C92-48F1-80D5-6A15D60B026D}">
      <formula1>BC3:BC1048546</formula1>
    </dataValidation>
    <dataValidation type="list" allowBlank="1" showInputMessage="1" showErrorMessage="1" sqref="X10 X18 X12:X13" xr:uid="{05FEC1AF-9F4D-41B3-A961-A545B8CFDE33}">
      <formula1>BC1048545:BC1048565</formula1>
    </dataValidation>
    <dataValidation type="list" allowBlank="1" showInputMessage="1" showErrorMessage="1" sqref="X11" xr:uid="{57FB2799-A8E3-40DE-969E-41812AA14E59}">
      <formula1>BC1048544:BC1048564</formula1>
    </dataValidation>
    <dataValidation type="list" allowBlank="1" showInputMessage="1" showErrorMessage="1" sqref="B15" xr:uid="{B15ED90C-AF99-4D19-BCF9-77303A377FE4}">
      <formula1>BB1:BB1048543</formula1>
    </dataValidation>
    <dataValidation type="list" allowBlank="1" showInputMessage="1" showErrorMessage="1" sqref="B18" xr:uid="{49CDB6AC-0FDD-440E-8812-83325929D2AE}">
      <formula1>BB1:BB1048543</formula1>
    </dataValidation>
    <dataValidation type="list" allowBlank="1" showInputMessage="1" showErrorMessage="1" sqref="B13" xr:uid="{5B661BAE-AC29-492A-842B-ED93FFB1BED4}">
      <formula1>BB1:BB1048543</formula1>
    </dataValidation>
    <dataValidation type="list" allowBlank="1" showInputMessage="1" showErrorMessage="1" sqref="B12" xr:uid="{E4C9419A-D4D2-48C2-BCBB-9F673D65DC97}">
      <formula1>BB1:BB1048543</formula1>
    </dataValidation>
    <dataValidation type="list" allowBlank="1" showInputMessage="1" showErrorMessage="1" sqref="B16" xr:uid="{95DB50D5-F5BB-4D61-9E03-895068A79F84}">
      <formula1>BC1048543:BC1048576</formula1>
    </dataValidation>
    <dataValidation type="list" allowBlank="1" showInputMessage="1" showErrorMessage="1" sqref="X21 X12:X13" xr:uid="{89759617-EC2C-467C-A82C-7C1D3ACB0F22}">
      <formula1>BC6:BC1048549</formula1>
    </dataValidation>
    <dataValidation type="list" allowBlank="1" showInputMessage="1" showErrorMessage="1" sqref="X11" xr:uid="{9F2FD98B-4CBF-4059-B464-5136EB17B64F}">
      <formula1>BC1:BC1048544</formula1>
    </dataValidation>
    <dataValidation type="list" allowBlank="1" showInputMessage="1" showErrorMessage="1" sqref="X20" xr:uid="{A34D0A61-5CD3-4922-B9A7-17FCED953127}">
      <formula1>BC11:BC1048554</formula1>
    </dataValidation>
    <dataValidation type="list" allowBlank="1" showInputMessage="1" showErrorMessage="1" sqref="B14" xr:uid="{8F226F4A-BEF0-4C53-8A7F-FC95F90058B1}">
      <formula1>BC1048543:BC1048576</formula1>
    </dataValidation>
    <dataValidation type="list" allowBlank="1" showInputMessage="1" showErrorMessage="1" sqref="X22" xr:uid="{01B9E0B4-821A-4021-A0F7-658577E0E4ED}">
      <formula1>BC1048555:BC1048576</formula1>
    </dataValidation>
  </dataValidations>
  <pageMargins left="3.9370078740157501E-2" right="3.9370078740157501E-2" top="0.196850393700787" bottom="3.9370078740157501E-2" header="0.31496062992126" footer="0.31496062992126"/>
  <pageSetup paperSize="9" scale="54" fitToHeight="2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Лобанов Сергей Александрович</dc:creator>
  <cp:lastModifiedBy>Лобанов Сергей Александрович</cp:lastModifiedBy>
  <dcterms:created xsi:type="dcterms:W3CDTF">2025-01-14T08:00:26Z</dcterms:created>
  <dcterms:modified xsi:type="dcterms:W3CDTF">2025-05-30T09:10:03Z</dcterms:modified>
</cp:coreProperties>
</file>